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ivot Table 1" sheetId="2" r:id="rId6"/>
    <sheet state="visible" name="Dashboard" sheetId="3" r:id="rId7"/>
  </sheets>
  <definedNames>
    <definedName hidden="1" localSheetId="0" name="_xlnm._FilterDatabase">Sheet1!$A$1:$V$6</definedName>
    <definedName hidden="1" localSheetId="0" name="Z_49A49762_6887_40F5_8100_E5A800036C85_.wvu.FilterData">Sheet1!$A$1:$F$6</definedName>
  </definedNames>
  <calcPr/>
  <customWorkbookViews>
    <customWorkbookView activeSheetId="0" maximized="1" windowHeight="0" windowWidth="0" guid="{49A49762-6887-40F5-8100-E5A800036C85}" name="Filter 1"/>
  </customWorkbookViews>
  <pivotCaches>
    <pivotCache cacheId="0" r:id="rId8"/>
  </pivotCaches>
</workbook>
</file>

<file path=xl/sharedStrings.xml><?xml version="1.0" encoding="utf-8"?>
<sst xmlns="http://schemas.openxmlformats.org/spreadsheetml/2006/main" count="41" uniqueCount="28">
  <si>
    <t>Property</t>
  </si>
  <si>
    <t>SUM of Total</t>
  </si>
  <si>
    <t xml:space="preserve">SUM of Electricity </t>
  </si>
  <si>
    <t>SUM of Gas</t>
  </si>
  <si>
    <t>SUM of Water</t>
  </si>
  <si>
    <t>SUM of  Council Tax</t>
  </si>
  <si>
    <t>C</t>
  </si>
  <si>
    <t>E</t>
  </si>
  <si>
    <t>A</t>
  </si>
  <si>
    <t>B</t>
  </si>
  <si>
    <t>D</t>
  </si>
  <si>
    <t>Grand Total</t>
  </si>
  <si>
    <t xml:space="preserve">                                             PROPERTY UTILITY COST DASHBOARD.  </t>
  </si>
  <si>
    <t>Total Portfolio Cost</t>
  </si>
  <si>
    <t>Average Cost</t>
  </si>
  <si>
    <t>Highest Cost</t>
  </si>
  <si>
    <t>Lowest Cost</t>
  </si>
  <si>
    <t xml:space="preserve">Utility </t>
  </si>
  <si>
    <t>Total</t>
  </si>
  <si>
    <t xml:space="preserve">Electricity </t>
  </si>
  <si>
    <t>Gas</t>
  </si>
  <si>
    <t>Water</t>
  </si>
  <si>
    <t xml:space="preserve"> Council Tax</t>
  </si>
  <si>
    <t>Portfolio Total</t>
  </si>
  <si>
    <t xml:space="preserve">Gas </t>
  </si>
  <si>
    <t>Council Tax</t>
  </si>
  <si>
    <t>Highest Cost Property</t>
  </si>
  <si>
    <t>Lowest Cost Property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</si>
</sst>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£-809]#,##0.00"/>
    <numFmt numFmtId="165" formatCode="&quot;£&quot;#,##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8.0"/>
      <color theme="1"/>
      <name val="Arial"/>
      <scheme val="minor"/>
    </font>
    <font>
      <color rgb="FFFFFFFF"/>
      <name val="Arial"/>
      <scheme val="minor"/>
    </font>
    <font>
      <b/>
      <sz val="18.0"/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0" xfId="0" applyFont="1" applyNumberFormat="1"/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2" fontId="3" numFmtId="0" xfId="0" applyFill="1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2" fontId="4" numFmtId="164" xfId="0" applyFill="1" applyFont="1" applyNumberFormat="1"/>
    <xf borderId="0" fillId="2" fontId="3" numFmtId="164" xfId="0" applyFill="1" applyFont="1" applyNumberFormat="1"/>
    <xf borderId="0" fillId="0" fontId="1" numFmtId="0" xfId="0" applyFont="1"/>
    <xf borderId="0" fillId="2" fontId="1" numFmtId="0" xfId="0" applyFill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38761D"/>
          <bgColor rgb="FF38761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UTILITY COST BY PROPERTY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Sheet1!$A$2:$A$6</c:f>
            </c:strRef>
          </c:cat>
          <c:val>
            <c:numRef>
              <c:f>Sheet1!$F$2:$F$6</c:f>
              <c:numCache/>
            </c:numRef>
          </c:val>
        </c:ser>
        <c:axId val="813724598"/>
        <c:axId val="468287950"/>
      </c:barChart>
      <c:catAx>
        <c:axId val="8137245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Property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8287950"/>
      </c:catAx>
      <c:valAx>
        <c:axId val="4682879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Cost(£)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37245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UTILITY COST BREAKDOWN BY 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Sheet1!$A$2:$A$6</c:f>
            </c:strRef>
          </c:cat>
          <c:val>
            <c:numRef>
              <c:f>Sheet1!$B$2:$B$6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Sheet1!$A$2:$A$6</c:f>
            </c:strRef>
          </c:cat>
          <c:val>
            <c:numRef>
              <c:f>Sheet1!$C$2:$C$6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Sheet1!$A$2:$A$6</c:f>
            </c:strRef>
          </c:cat>
          <c:val>
            <c:numRef>
              <c:f>Sheet1!$D$2:$D$6</c:f>
              <c:numCache/>
            </c:numRef>
          </c:val>
        </c:ser>
        <c:ser>
          <c:idx val="3"/>
          <c:order val="3"/>
          <c:spPr>
            <a:solidFill>
              <a:schemeClr val="accent4"/>
            </a:solidFill>
            <a:ln cmpd="sng">
              <a:noFill/>
            </a:ln>
          </c:spPr>
          <c:cat>
            <c:strRef>
              <c:f>Sheet1!$A$2:$A$6</c:f>
            </c:strRef>
          </c:cat>
          <c:val>
            <c:numRef>
              <c:f>Sheet1!$E$2:$E$6</c:f>
              <c:numCache/>
            </c:numRef>
          </c:val>
        </c:ser>
        <c:overlap val="100"/>
        <c:axId val="727738513"/>
        <c:axId val="228209464"/>
      </c:barChart>
      <c:catAx>
        <c:axId val="72773851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8209464"/>
      </c:catAx>
      <c:valAx>
        <c:axId val="22820946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773851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UTILITY COST BY PROPERTY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Sheet1!$A$2:$A$6</c:f>
            </c:strRef>
          </c:cat>
          <c:val>
            <c:numRef>
              <c:f>Sheet1!$F$2:$F$6</c:f>
              <c:numCache/>
            </c:numRef>
          </c:val>
        </c:ser>
        <c:axId val="323290673"/>
        <c:axId val="710631700"/>
      </c:barChart>
      <c:catAx>
        <c:axId val="3232906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Property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0631700"/>
      </c:catAx>
      <c:valAx>
        <c:axId val="7106317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Cost(£)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32906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COST BY UTILITY TYPE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Dashboard!$K$3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Dashboard!$J$4:$J$7</c:f>
            </c:strRef>
          </c:cat>
          <c:val>
            <c:numRef>
              <c:f>Dashboard!$K$4:$K$7</c:f>
              <c:numCache/>
            </c:numRef>
          </c:val>
        </c:ser>
        <c:axId val="829528445"/>
        <c:axId val="1410027536"/>
      </c:barChart>
      <c:catAx>
        <c:axId val="8295284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Utility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0027536"/>
      </c:catAx>
      <c:valAx>
        <c:axId val="14100275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95284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UTILITY COST BREAKDOWN BY PROPERTY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Sheet1!$A$2:$A$6</c:f>
            </c:strRef>
          </c:cat>
          <c:val>
            <c:numRef>
              <c:f>Sheet1!$B$2:$B$6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Sheet1!$A$2:$A$6</c:f>
            </c:strRef>
          </c:cat>
          <c:val>
            <c:numRef>
              <c:f>Sheet1!$C$2:$C$6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Sheet1!$A$2:$A$6</c:f>
            </c:strRef>
          </c:cat>
          <c:val>
            <c:numRef>
              <c:f>Sheet1!$D$2:$D$6</c:f>
              <c:numCache/>
            </c:numRef>
          </c:val>
        </c:ser>
        <c:ser>
          <c:idx val="3"/>
          <c:order val="3"/>
          <c:spPr>
            <a:solidFill>
              <a:schemeClr val="accent4"/>
            </a:solidFill>
            <a:ln cmpd="sng">
              <a:noFill/>
            </a:ln>
          </c:spPr>
          <c:cat>
            <c:strRef>
              <c:f>Sheet1!$A$2:$A$6</c:f>
            </c:strRef>
          </c:cat>
          <c:val>
            <c:numRef>
              <c:f>Sheet1!$E$2:$E$6</c:f>
              <c:numCache/>
            </c:numRef>
          </c:val>
        </c:ser>
        <c:overlap val="100"/>
        <c:axId val="1787907443"/>
        <c:axId val="1669236869"/>
      </c:barChart>
      <c:catAx>
        <c:axId val="178790744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9236869"/>
      </c:catAx>
      <c:valAx>
        <c:axId val="166923686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790744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66675</xdr:colOff>
      <xdr:row>0</xdr:row>
      <xdr:rowOff>0</xdr:rowOff>
    </xdr:from>
    <xdr:ext cx="5715000" cy="34861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257175</xdr:colOff>
      <xdr:row>4</xdr:row>
      <xdr:rowOff>123825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7</xdr:row>
      <xdr:rowOff>57150</xdr:rowOff>
    </xdr:from>
    <xdr:ext cx="4048125" cy="27432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723900</xdr:colOff>
      <xdr:row>7</xdr:row>
      <xdr:rowOff>38100</xdr:rowOff>
    </xdr:from>
    <xdr:ext cx="35814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200025</xdr:colOff>
      <xdr:row>7</xdr:row>
      <xdr:rowOff>57150</xdr:rowOff>
    </xdr:from>
    <xdr:ext cx="5334000" cy="34671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6" sheet="Sheet1"/>
  </cacheSource>
  <cacheFields>
    <cacheField name="Property" numFmtId="0">
      <sharedItems>
        <s v="C"/>
        <s v="E"/>
        <s v="A"/>
        <s v="B"/>
        <s v="D"/>
      </sharedItems>
    </cacheField>
    <cacheField name="Electricity " numFmtId="164">
      <sharedItems containsSemiMixedTypes="0" containsString="0" containsNumber="1" containsInteger="1">
        <n v="180.0"/>
        <n v="150.0"/>
        <n v="120.0"/>
        <n v="95.0"/>
        <n v="75.0"/>
      </sharedItems>
    </cacheField>
    <cacheField name="Gas" numFmtId="165">
      <sharedItems containsSemiMixedTypes="0" containsString="0" containsNumber="1" containsInteger="1">
        <n v="110.0"/>
        <n v="95.0"/>
        <n v="80.0"/>
        <n v="72.0"/>
        <n v="65.0"/>
      </sharedItems>
    </cacheField>
    <cacheField name="Water" numFmtId="165">
      <sharedItems containsSemiMixedTypes="0" containsString="0" containsNumber="1" containsInteger="1">
        <n v="40.0"/>
        <n v="32.0"/>
        <n v="35.0"/>
        <n v="30.0"/>
        <n v="28.0"/>
      </sharedItems>
    </cacheField>
    <cacheField name=" Council Tax" numFmtId="165">
      <sharedItems containsSemiMixedTypes="0" containsString="0" containsNumber="1" containsInteger="1">
        <n v="165.0"/>
        <n v="155.0"/>
        <n v="150.0"/>
        <n v="140.0"/>
        <n v="135.0"/>
      </sharedItems>
    </cacheField>
    <cacheField name="Total" numFmtId="164">
      <sharedItems containsSemiMixedTypes="0" containsString="0" containsNumber="1" containsInteger="1">
        <n v="495.0"/>
        <n v="432.0"/>
        <n v="385.0"/>
        <n v="337.0"/>
        <n v="303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G7" firstHeaderRow="0" firstDataRow="2" firstDataCol="0"/>
  <pivotFields>
    <pivotField name="Property" axis="axisRow" compact="0" outline="0" multipleItemSelectionAllowed="1" showAll="0" sortType="descending">
      <items>
        <item x="0"/>
        <item x="1"/>
        <item x="2"/>
        <item x="3"/>
        <item x="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Electricity " dataField="1" compact="0" numFmtId="164" outline="0" multipleItemSelectionAllowed="1" showAll="0">
      <items>
        <item x="0"/>
        <item x="1"/>
        <item x="2"/>
        <item x="3"/>
        <item x="4"/>
        <item t="default"/>
      </items>
    </pivotField>
    <pivotField name="Gas" dataField="1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Water" dataField="1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 Council Tax" dataField="1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Total" dataField="1" compact="0" numFmtId="164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</rowFields>
  <colFields>
    <field x="-2"/>
  </colFields>
  <dataFields>
    <dataField name="SUM of Total" fld="5" baseField="0"/>
    <dataField name="SUM of Electricity " fld="1" baseField="0"/>
    <dataField name="SUM of Gas" fld="2" baseField="0"/>
    <dataField name="SUM of Water" fld="3" baseField="0"/>
    <dataField name="SUM of  Council Tax" fld="4" baseField="0"/>
    <dataField name="SUM of Total" fld="5" showDataAs="percentOfTotal" baseField="0" numFmtId="1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22.63"/>
  </cols>
  <sheetData>
    <row r="1">
      <c r="A1" s="8" t="s">
        <v>0</v>
      </c>
      <c r="B1" s="8" t="s">
        <v>19</v>
      </c>
      <c r="C1" s="8" t="s">
        <v>20</v>
      </c>
      <c r="D1" s="8" t="s">
        <v>21</v>
      </c>
      <c r="E1" s="8" t="s">
        <v>22</v>
      </c>
      <c r="F1" s="8" t="s">
        <v>18</v>
      </c>
    </row>
    <row r="2">
      <c r="A2" s="8" t="s">
        <v>6</v>
      </c>
      <c r="B2" s="9">
        <v>180.0</v>
      </c>
      <c r="C2" s="10">
        <v>110.0</v>
      </c>
      <c r="D2" s="10">
        <v>40.0</v>
      </c>
      <c r="E2" s="10">
        <v>165.0</v>
      </c>
      <c r="F2" s="2">
        <f t="shared" ref="F2:F6" si="1">SUM(B2:E2)</f>
        <v>495</v>
      </c>
    </row>
    <row r="3">
      <c r="A3" s="8" t="s">
        <v>7</v>
      </c>
      <c r="B3" s="9">
        <v>150.0</v>
      </c>
      <c r="C3" s="10">
        <v>95.0</v>
      </c>
      <c r="D3" s="10">
        <v>32.0</v>
      </c>
      <c r="E3" s="10">
        <v>155.0</v>
      </c>
      <c r="F3" s="2">
        <f t="shared" si="1"/>
        <v>432</v>
      </c>
    </row>
    <row r="4">
      <c r="A4" s="8" t="s">
        <v>8</v>
      </c>
      <c r="B4" s="9">
        <v>120.0</v>
      </c>
      <c r="C4" s="10">
        <v>80.0</v>
      </c>
      <c r="D4" s="10">
        <v>35.0</v>
      </c>
      <c r="E4" s="10">
        <v>150.0</v>
      </c>
      <c r="F4" s="2">
        <f t="shared" si="1"/>
        <v>385</v>
      </c>
    </row>
    <row r="5">
      <c r="A5" s="8" t="s">
        <v>9</v>
      </c>
      <c r="B5" s="9">
        <v>95.0</v>
      </c>
      <c r="C5" s="10">
        <v>72.0</v>
      </c>
      <c r="D5" s="10">
        <v>30.0</v>
      </c>
      <c r="E5" s="10">
        <v>140.0</v>
      </c>
      <c r="F5" s="2">
        <f t="shared" si="1"/>
        <v>337</v>
      </c>
    </row>
    <row r="6">
      <c r="A6" s="8" t="s">
        <v>10</v>
      </c>
      <c r="B6" s="9">
        <v>75.0</v>
      </c>
      <c r="C6" s="10">
        <v>65.0</v>
      </c>
      <c r="D6" s="10">
        <v>28.0</v>
      </c>
      <c r="E6" s="10">
        <v>135.0</v>
      </c>
      <c r="F6" s="2">
        <f t="shared" si="1"/>
        <v>303</v>
      </c>
    </row>
    <row r="7">
      <c r="A7" s="13"/>
      <c r="B7" s="13"/>
      <c r="C7" s="13"/>
      <c r="D7" s="13"/>
      <c r="E7" s="8" t="s">
        <v>23</v>
      </c>
      <c r="F7" s="2">
        <f>SUM(F2:F6)</f>
        <v>1952</v>
      </c>
    </row>
    <row r="8">
      <c r="A8" s="13"/>
      <c r="B8" s="13"/>
      <c r="C8" s="13"/>
      <c r="D8" s="13"/>
      <c r="E8" s="8" t="s">
        <v>15</v>
      </c>
      <c r="F8" s="2">
        <f>MAX(F2:F6)</f>
        <v>495</v>
      </c>
    </row>
    <row r="9">
      <c r="A9" s="13"/>
      <c r="B9" s="13"/>
      <c r="C9" s="13"/>
      <c r="D9" s="13"/>
      <c r="E9" s="8" t="s">
        <v>16</v>
      </c>
      <c r="F9" s="2">
        <f>MIN(F2:F6)</f>
        <v>303</v>
      </c>
    </row>
    <row r="10">
      <c r="A10" s="13"/>
      <c r="B10" s="13"/>
      <c r="C10" s="13"/>
      <c r="D10" s="13"/>
      <c r="E10" s="8" t="s">
        <v>14</v>
      </c>
      <c r="F10" s="2">
        <f>AVERAGE(F2:F6)</f>
        <v>390.4</v>
      </c>
    </row>
    <row r="11">
      <c r="A11" s="13"/>
      <c r="B11" s="13"/>
      <c r="C11" s="13"/>
      <c r="D11" s="13"/>
      <c r="E11" s="8" t="s">
        <v>26</v>
      </c>
      <c r="F11" s="1" t="str">
        <f t="array" ref="F11">INDEX(A2:A6,MATCH(MAX(F2:F6),F2:F6,0))</f>
        <v>C</v>
      </c>
    </row>
    <row r="12">
      <c r="A12" s="13"/>
      <c r="B12" s="13"/>
      <c r="C12" s="13"/>
      <c r="D12" s="13"/>
      <c r="E12" s="8" t="s">
        <v>27</v>
      </c>
      <c r="F12" s="1" t="str">
        <f t="array" ref="F12">INDEX(A2:A6,MATCH(MIN(F2:F6),F2:F6,0))</f>
        <v>D</v>
      </c>
    </row>
    <row r="13">
      <c r="A13" s="13"/>
      <c r="B13" s="13"/>
      <c r="C13" s="13"/>
      <c r="D13" s="13"/>
    </row>
    <row r="14">
      <c r="A14" s="13"/>
      <c r="B14" s="13"/>
      <c r="C14" s="13"/>
      <c r="D14" s="13"/>
      <c r="E14" s="13"/>
    </row>
    <row r="15">
      <c r="A15" s="13"/>
      <c r="B15" s="13"/>
      <c r="C15" s="13"/>
      <c r="D15" s="13"/>
      <c r="E15" s="13"/>
    </row>
    <row r="16">
      <c r="A16" s="13"/>
      <c r="B16" s="13"/>
      <c r="C16" s="13"/>
      <c r="D16" s="13"/>
      <c r="E16" s="2"/>
    </row>
  </sheetData>
  <autoFilter ref="$A$1:$V$6">
    <sortState ref="A1:V6">
      <sortCondition descending="1" ref="F1:F6"/>
    </sortState>
  </autoFilter>
  <customSheetViews>
    <customSheetView guid="{49A49762-6887-40F5-8100-E5A800036C85}" filter="1" showAutoFilter="1">
      <autoFilter ref="$A$1:$F$6"/>
    </customSheetView>
  </customSheetViews>
  <conditionalFormatting sqref="F2:F6">
    <cfRule type="cellIs" dxfId="1" priority="1" operator="greaterThan">
      <formula>400</formula>
    </cfRule>
  </conditionalFormatting>
  <conditionalFormatting sqref="F2:F6">
    <cfRule type="cellIs" dxfId="2" priority="2" operator="between">
      <formula>350</formula>
      <formula>400</formula>
    </cfRule>
  </conditionalFormatting>
  <conditionalFormatting sqref="F2:F6">
    <cfRule type="cellIs" dxfId="3" priority="3" operator="lessThan">
      <formula>350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hidden="1" min="10" max="11" width="12.63"/>
  </cols>
  <sheetData>
    <row r="1">
      <c r="A1" s="5" t="s">
        <v>12</v>
      </c>
    </row>
    <row r="3" ht="18.75" customHeight="1">
      <c r="A3" s="6" t="s">
        <v>13</v>
      </c>
      <c r="B3" s="7"/>
      <c r="C3" s="6" t="s">
        <v>14</v>
      </c>
      <c r="D3" s="7"/>
      <c r="E3" s="6" t="s">
        <v>15</v>
      </c>
      <c r="F3" s="7"/>
      <c r="G3" s="6" t="s">
        <v>16</v>
      </c>
      <c r="J3" s="8" t="s">
        <v>17</v>
      </c>
      <c r="K3" s="8" t="s">
        <v>18</v>
      </c>
    </row>
    <row r="4">
      <c r="A4" s="11">
        <f>Sheet1!F7</f>
        <v>1952</v>
      </c>
      <c r="B4" s="7"/>
      <c r="C4" s="12">
        <f>AVERAGE(Sheet1!F2:F6)</f>
        <v>390.4</v>
      </c>
      <c r="D4" s="7"/>
      <c r="E4" s="12">
        <f>MAX(Sheet1!F2:F6)</f>
        <v>495</v>
      </c>
      <c r="F4" s="7"/>
      <c r="G4" s="12">
        <f>MIN(Sheet1!F2:F6)</f>
        <v>303</v>
      </c>
      <c r="J4" s="8" t="s">
        <v>19</v>
      </c>
      <c r="K4" s="9">
        <v>620.0</v>
      </c>
    </row>
    <row r="5">
      <c r="A5" s="14"/>
      <c r="B5" s="7"/>
      <c r="C5" s="14"/>
      <c r="D5" s="14"/>
      <c r="E5" s="14"/>
      <c r="F5" s="14"/>
      <c r="G5" s="14"/>
      <c r="J5" s="8" t="s">
        <v>24</v>
      </c>
      <c r="K5" s="9">
        <v>422.0</v>
      </c>
    </row>
    <row r="6">
      <c r="J6" s="8" t="s">
        <v>21</v>
      </c>
      <c r="K6" s="9">
        <v>165.0</v>
      </c>
    </row>
    <row r="7">
      <c r="J7" s="8" t="s">
        <v>25</v>
      </c>
      <c r="K7" s="9">
        <v>745.0</v>
      </c>
    </row>
  </sheetData>
  <mergeCells count="1">
    <mergeCell ref="A1:F1"/>
  </mergeCells>
  <drawing r:id="rId1"/>
</worksheet>
</file>